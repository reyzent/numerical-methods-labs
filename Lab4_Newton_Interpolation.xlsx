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zent_\Desktop\"/>
    </mc:Choice>
  </mc:AlternateContent>
  <xr:revisionPtr revIDLastSave="0" documentId="13_ncr:1_{2675CC31-BC26-48D9-8325-31A9B4962618}" xr6:coauthVersionLast="47" xr6:coauthVersionMax="47" xr10:uidLastSave="{00000000-0000-0000-0000-000000000000}"/>
  <bookViews>
    <workbookView xWindow="-28920" yWindow="-120" windowWidth="29040" windowHeight="15720" xr2:uid="{9367A10F-D002-441E-9623-1FDB3F6FB1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8" i="1"/>
  <c r="O7" i="1"/>
  <c r="O6" i="1"/>
  <c r="O5" i="1"/>
  <c r="O4" i="1"/>
  <c r="L7" i="1"/>
  <c r="L6" i="1"/>
  <c r="I2" i="1"/>
  <c r="H3" i="1"/>
  <c r="H2" i="1"/>
  <c r="G4" i="1"/>
  <c r="G3" i="1"/>
  <c r="G2" i="1"/>
  <c r="F5" i="1"/>
  <c r="F4" i="1"/>
  <c r="F3" i="1"/>
  <c r="F2" i="1"/>
  <c r="E6" i="1"/>
  <c r="E4" i="1"/>
  <c r="E3" i="1"/>
  <c r="E2" i="1"/>
  <c r="D7" i="1"/>
  <c r="D6" i="1"/>
  <c r="D5" i="1"/>
  <c r="D4" i="1"/>
  <c r="D3" i="1"/>
  <c r="D2" i="1"/>
  <c r="C8" i="1"/>
  <c r="C7" i="1"/>
  <c r="C6" i="1"/>
  <c r="C5" i="1"/>
  <c r="C4" i="1"/>
  <c r="C3" i="1"/>
  <c r="C2" i="1"/>
  <c r="P22" i="1"/>
  <c r="L13" i="1"/>
  <c r="L12" i="1"/>
  <c r="L11" i="1"/>
  <c r="L10" i="1"/>
  <c r="L9" i="1"/>
  <c r="O25" i="1"/>
  <c r="Q23" i="1"/>
  <c r="Q22" i="1"/>
  <c r="Q21" i="1"/>
  <c r="Q20" i="1"/>
  <c r="Q19" i="1"/>
  <c r="Q18" i="1"/>
  <c r="Q17" i="1"/>
  <c r="Q16" i="1"/>
  <c r="P23" i="1"/>
  <c r="P21" i="1"/>
  <c r="P20" i="1"/>
  <c r="P18" i="1"/>
  <c r="P17" i="1"/>
  <c r="P16" i="1"/>
  <c r="O12" i="1"/>
  <c r="Q10" i="1"/>
  <c r="Q9" i="1"/>
  <c r="Q8" i="1"/>
  <c r="Q7" i="1"/>
  <c r="Q6" i="1"/>
  <c r="Q5" i="1"/>
  <c r="Q4" i="1"/>
  <c r="Q3" i="1"/>
  <c r="O23" i="1"/>
  <c r="O22" i="1"/>
  <c r="P10" i="1"/>
  <c r="P9" i="1"/>
  <c r="O9" i="1"/>
  <c r="O21" i="1"/>
  <c r="O20" i="1"/>
  <c r="O19" i="1"/>
  <c r="O18" i="1"/>
  <c r="O17" i="1"/>
  <c r="O16" i="1"/>
  <c r="P3" i="1"/>
  <c r="P4" i="1"/>
  <c r="E5" i="1"/>
  <c r="P5" i="1"/>
  <c r="P8" i="1" l="1"/>
  <c r="P7" i="1"/>
  <c r="P6" i="1"/>
  <c r="P19" i="1" l="1"/>
</calcChain>
</file>

<file path=xl/sharedStrings.xml><?xml version="1.0" encoding="utf-8"?>
<sst xmlns="http://schemas.openxmlformats.org/spreadsheetml/2006/main" count="50" uniqueCount="44">
  <si>
    <t>x</t>
  </si>
  <si>
    <t>y</t>
  </si>
  <si>
    <t>Δy</t>
  </si>
  <si>
    <t>Δ²y</t>
  </si>
  <si>
    <t>Δ³y</t>
  </si>
  <si>
    <t>Δ⁴y</t>
  </si>
  <si>
    <t>Δ⁵y</t>
  </si>
  <si>
    <t>Δ⁶y</t>
  </si>
  <si>
    <t>Δ⁷y</t>
  </si>
  <si>
    <t>Параметр</t>
  </si>
  <si>
    <t>Значение</t>
  </si>
  <si>
    <t>h</t>
  </si>
  <si>
    <t>x₀</t>
  </si>
  <si>
    <t>xₙ</t>
  </si>
  <si>
    <t>t₁</t>
  </si>
  <si>
    <t>t₂</t>
  </si>
  <si>
    <t>Слагаемое</t>
  </si>
  <si>
    <t>Коэффициент</t>
  </si>
  <si>
    <t>Значение разности</t>
  </si>
  <si>
    <t>Произведение</t>
  </si>
  <si>
    <t>y₀</t>
  </si>
  <si>
    <t>Δy₀</t>
  </si>
  <si>
    <t>Δ²y₀</t>
  </si>
  <si>
    <t>Δ³y₀</t>
  </si>
  <si>
    <t>Δ⁴y₀</t>
  </si>
  <si>
    <t>Δ⁵y₀</t>
  </si>
  <si>
    <t>Результат: ≈</t>
  </si>
  <si>
    <t>yₙ</t>
  </si>
  <si>
    <t>Δyₙ₋₁</t>
  </si>
  <si>
    <t>Δ²yₙ₋₂</t>
  </si>
  <si>
    <t>Δ³yₙ₋₃</t>
  </si>
  <si>
    <t>Δ⁴yₙ₋₄</t>
  </si>
  <si>
    <t>Δ⁵yₙ₋₅</t>
  </si>
  <si>
    <t>Первый многочлен=</t>
  </si>
  <si>
    <t>Второй многочлен=</t>
  </si>
  <si>
    <t>Разница=</t>
  </si>
  <si>
    <t>Относительная погрешность=</t>
  </si>
  <si>
    <t>Первый интерполяционный многочлен Ньютона</t>
  </si>
  <si>
    <t>Второй интерполяционный многочлен Ньютона</t>
  </si>
  <si>
    <t>Δ⁶y₀</t>
  </si>
  <si>
    <t>Δ⁷y₀</t>
  </si>
  <si>
    <t>Δ⁶yₙ₋₆</t>
  </si>
  <si>
    <t>Δ⁷yₙ₋₇</t>
  </si>
  <si>
    <t>Среднее значение=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</si>
</sst>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70" formatCode="0.0"/>
  </numFmts>
  <fonts count="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7653-C9B5-47A1-937D-20B9C48987E8}">
  <dimension ref="A1:Q25"/>
  <sheetViews>
    <sheetView tabSelected="1" workbookViewId="0">
      <selection activeCell="A10" sqref="A10"/>
    </sheetView>
  </sheetViews>
  <sheetFormatPr defaultRowHeight="15.75" x14ac:dyDescent="0.25"/>
  <cols>
    <col min="1" max="1" width="11.28515625" style="8" customWidth="1"/>
    <col min="2" max="2" width="12.7109375" style="8" customWidth="1"/>
    <col min="3" max="3" width="11.7109375" style="8" customWidth="1"/>
    <col min="4" max="5" width="9.28515625" style="8" bestFit="1" customWidth="1"/>
    <col min="6" max="6" width="12.5703125" style="8" customWidth="1"/>
    <col min="7" max="8" width="11.42578125" style="8" customWidth="1"/>
    <col min="9" max="10" width="9.140625" style="8"/>
    <col min="11" max="11" width="30.85546875" style="8" bestFit="1" customWidth="1"/>
    <col min="12" max="12" width="10.42578125" style="8" customWidth="1"/>
    <col min="13" max="13" width="9.140625" style="8"/>
    <col min="14" max="14" width="12.5703125" style="8" customWidth="1"/>
    <col min="15" max="15" width="14.5703125" style="8" bestFit="1" customWidth="1"/>
    <col min="16" max="16" width="19.7109375" style="8" bestFit="1" customWidth="1"/>
    <col min="17" max="17" width="15" style="8" bestFit="1" customWidth="1"/>
    <col min="18" max="16384" width="9.140625" style="8"/>
  </cols>
  <sheetData>
    <row r="1" spans="1:1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9" t="s">
        <v>9</v>
      </c>
      <c r="L1" s="9" t="s">
        <v>10</v>
      </c>
      <c r="N1" s="15" t="s">
        <v>37</v>
      </c>
    </row>
    <row r="2" spans="1:17" x14ac:dyDescent="0.25">
      <c r="A2" s="4">
        <v>0.23499999999999999</v>
      </c>
      <c r="B2" s="6">
        <v>1.208</v>
      </c>
      <c r="C2" s="6">
        <f>B3-B2</f>
        <v>4.5600000000001195E-3</v>
      </c>
      <c r="D2" s="7">
        <f>C3-C2</f>
        <v>4.5699999999997409E-3</v>
      </c>
      <c r="E2" s="7">
        <f>D3-D2</f>
        <v>-9.1099999999995074E-3</v>
      </c>
      <c r="F2" s="7">
        <f>E3-E2</f>
        <v>1.8249999999999211E-2</v>
      </c>
      <c r="G2" s="7">
        <f>F3-F2</f>
        <v>-2.7319999999998901E-2</v>
      </c>
      <c r="H2" s="7">
        <f>G3-G2</f>
        <v>3.1739999999998547E-2</v>
      </c>
      <c r="I2" s="7">
        <f>H3-H2</f>
        <v>-3.6299999999998001E-2</v>
      </c>
      <c r="K2" s="8" t="s">
        <v>0</v>
      </c>
      <c r="L2" s="10">
        <v>0.26100000000000001</v>
      </c>
      <c r="N2" s="9" t="s">
        <v>16</v>
      </c>
      <c r="O2" s="9" t="s">
        <v>17</v>
      </c>
      <c r="P2" s="9" t="s">
        <v>18</v>
      </c>
      <c r="Q2" s="9" t="s">
        <v>19</v>
      </c>
    </row>
    <row r="3" spans="1:17" x14ac:dyDescent="0.25">
      <c r="A3" s="5">
        <v>0.24</v>
      </c>
      <c r="B3" s="6">
        <v>1.2125600000000001</v>
      </c>
      <c r="C3" s="6">
        <f>B4-B3</f>
        <v>9.1299999999998604E-3</v>
      </c>
      <c r="D3" s="12">
        <f>C4-C3</f>
        <v>-4.5399999999997664E-3</v>
      </c>
      <c r="E3" s="7">
        <f>D4-D3</f>
        <v>9.1399999999997039E-3</v>
      </c>
      <c r="F3" s="7">
        <f>E4-E3</f>
        <v>-9.0699999999996894E-3</v>
      </c>
      <c r="G3" s="7">
        <f>F4-F3</f>
        <v>4.4199999999996464E-3</v>
      </c>
      <c r="H3" s="7">
        <f>G4-G3</f>
        <v>-4.5599999999994534E-3</v>
      </c>
      <c r="K3" s="8" t="s">
        <v>11</v>
      </c>
      <c r="L3" s="10">
        <v>5.0000000000000001E-3</v>
      </c>
      <c r="N3" s="8" t="s">
        <v>20</v>
      </c>
      <c r="O3" s="8">
        <v>1</v>
      </c>
      <c r="P3" s="7">
        <f>B6</f>
        <v>1.2354700000000001</v>
      </c>
      <c r="Q3" s="8">
        <f>O3*P3</f>
        <v>1.2354700000000001</v>
      </c>
    </row>
    <row r="4" spans="1:17" x14ac:dyDescent="0.25">
      <c r="A4" s="5">
        <v>0.245</v>
      </c>
      <c r="B4" s="6">
        <v>1.2216899999999999</v>
      </c>
      <c r="C4" s="6">
        <f>B5-B4</f>
        <v>4.590000000000094E-3</v>
      </c>
      <c r="D4" s="6">
        <f>C5-C4</f>
        <v>4.5999999999999375E-3</v>
      </c>
      <c r="E4" s="6">
        <f>D5-D4</f>
        <v>7.0000000000014495E-5</v>
      </c>
      <c r="F4" s="7">
        <f>E5-E4</f>
        <v>-4.650000000000043E-3</v>
      </c>
      <c r="G4" s="7">
        <f>F5-F4</f>
        <v>-1.3999999999980695E-4</v>
      </c>
      <c r="K4" s="8" t="s">
        <v>12</v>
      </c>
      <c r="L4" s="10">
        <v>0.255</v>
      </c>
      <c r="N4" s="8" t="s">
        <v>21</v>
      </c>
      <c r="O4" s="8">
        <f>L6/1</f>
        <v>1.2000000000000011</v>
      </c>
      <c r="P4" s="7">
        <f>C5</f>
        <v>9.1900000000000315E-3</v>
      </c>
      <c r="Q4" s="8">
        <f>O4*P4</f>
        <v>1.1028000000000048E-2</v>
      </c>
    </row>
    <row r="5" spans="1:17" x14ac:dyDescent="0.25">
      <c r="A5" s="5">
        <v>0.25</v>
      </c>
      <c r="B5" s="6">
        <v>1.22628</v>
      </c>
      <c r="C5" s="6">
        <f>B6-B5</f>
        <v>9.1900000000000315E-3</v>
      </c>
      <c r="D5" s="6">
        <f>C6-C5</f>
        <v>4.669999999999952E-3</v>
      </c>
      <c r="E5" s="6">
        <f>D6-D5</f>
        <v>-4.5800000000000285E-3</v>
      </c>
      <c r="F5" s="7">
        <f>E6-E5</f>
        <v>-4.7899999999998499E-3</v>
      </c>
      <c r="K5" s="8" t="s">
        <v>13</v>
      </c>
      <c r="L5" s="10">
        <v>0.27</v>
      </c>
      <c r="N5" s="8" t="s">
        <v>22</v>
      </c>
      <c r="O5" s="8">
        <f>L6*(L6-1)/2</f>
        <v>0.12000000000000074</v>
      </c>
      <c r="P5" s="7">
        <f>D4</f>
        <v>4.5999999999999375E-3</v>
      </c>
      <c r="Q5" s="8">
        <f>O5*P5</f>
        <v>5.5199999999999596E-4</v>
      </c>
    </row>
    <row r="6" spans="1:17" x14ac:dyDescent="0.25">
      <c r="A6" s="5">
        <v>0.255</v>
      </c>
      <c r="B6" s="6">
        <v>1.2354700000000001</v>
      </c>
      <c r="C6" s="6">
        <f>B7-B6</f>
        <v>1.3859999999999983E-2</v>
      </c>
      <c r="D6" s="6">
        <f>C7-C6</f>
        <v>8.9999999999923475E-5</v>
      </c>
      <c r="E6" s="6">
        <f>D7-D6</f>
        <v>-9.3699999999998784E-3</v>
      </c>
      <c r="K6" s="8" t="s">
        <v>14</v>
      </c>
      <c r="L6" s="11">
        <f>(L2-L4)/L3</f>
        <v>1.2000000000000011</v>
      </c>
      <c r="N6" s="8" t="s">
        <v>23</v>
      </c>
      <c r="O6" s="8">
        <f>L6*(L6-1)*(L6-2)/6</f>
        <v>-3.200000000000016E-2</v>
      </c>
      <c r="P6" s="7">
        <f>E3</f>
        <v>9.1399999999997039E-3</v>
      </c>
      <c r="Q6" s="8">
        <f>O6*P6</f>
        <v>-2.92479999999992E-4</v>
      </c>
    </row>
    <row r="7" spans="1:17" x14ac:dyDescent="0.25">
      <c r="A7" s="5">
        <v>0.26</v>
      </c>
      <c r="B7" s="6">
        <v>1.2493300000000001</v>
      </c>
      <c r="C7" s="6">
        <f>B8-B7</f>
        <v>1.3949999999999907E-2</v>
      </c>
      <c r="D7" s="6">
        <f>C8-C7</f>
        <v>-9.279999999999955E-3</v>
      </c>
      <c r="E7" s="3"/>
      <c r="K7" s="8" t="s">
        <v>15</v>
      </c>
      <c r="L7" s="11">
        <f>(L2-L5)/L3</f>
        <v>-1.8000000000000016</v>
      </c>
      <c r="N7" s="8" t="s">
        <v>24</v>
      </c>
      <c r="O7" s="8">
        <f>L6*(L6-1)*(L6-2)*(L6-3)/24</f>
        <v>1.4400000000000064E-2</v>
      </c>
      <c r="P7" s="7">
        <f>F2</f>
        <v>1.8249999999999211E-2</v>
      </c>
      <c r="Q7" s="8">
        <f>O7*P7</f>
        <v>2.627999999999898E-4</v>
      </c>
    </row>
    <row r="8" spans="1:17" x14ac:dyDescent="0.25">
      <c r="A8" s="5">
        <v>0.26500000000000001</v>
      </c>
      <c r="B8" s="6">
        <v>1.26328</v>
      </c>
      <c r="C8" s="7">
        <f>B9-B8</f>
        <v>4.669999999999952E-3</v>
      </c>
      <c r="N8" s="8" t="s">
        <v>25</v>
      </c>
      <c r="O8" s="8">
        <f>L6*(L6-1)*(L6-2)*(L6-3)*(L6-4)/120</f>
        <v>-8.0640000000000329E-3</v>
      </c>
      <c r="P8" s="7">
        <f>G2</f>
        <v>-2.7319999999998901E-2</v>
      </c>
      <c r="Q8" s="8">
        <f>O8*P8</f>
        <v>2.2030847999999204E-4</v>
      </c>
    </row>
    <row r="9" spans="1:17" x14ac:dyDescent="0.25">
      <c r="A9" s="5">
        <v>0.27</v>
      </c>
      <c r="B9" s="7">
        <v>1.2679499999999999</v>
      </c>
      <c r="K9" s="13" t="s">
        <v>33</v>
      </c>
      <c r="L9" s="8">
        <f>O12</f>
        <v>1.2475298565120003</v>
      </c>
      <c r="N9" s="8" t="s">
        <v>39</v>
      </c>
      <c r="O9" s="8">
        <f>L6*(L6-1)*(L6-2)*(L6-3)*(L6-4)*(L6-5)/720</f>
        <v>5.1072000000000192E-3</v>
      </c>
      <c r="P9" s="7">
        <f>H2</f>
        <v>3.1739999999998547E-2</v>
      </c>
      <c r="Q9" s="8">
        <f>O9*P9</f>
        <v>1.6210252799999319E-4</v>
      </c>
    </row>
    <row r="10" spans="1:17" x14ac:dyDescent="0.25">
      <c r="K10" s="13" t="s">
        <v>34</v>
      </c>
      <c r="L10" s="8">
        <f>O25</f>
        <v>1.2522537688320003</v>
      </c>
      <c r="N10" s="8" t="s">
        <v>40</v>
      </c>
      <c r="O10" s="8">
        <f>L6*(L6-1)*(L6-2)*(L6-3)*(L6-4)*(L6-5)*(L6-6)/5040</f>
        <v>-3.502080000000012E-3</v>
      </c>
      <c r="P10" s="7">
        <f>I2</f>
        <v>-3.6299999999998001E-2</v>
      </c>
      <c r="Q10" s="8">
        <f>O10*P10</f>
        <v>1.2712550399999345E-4</v>
      </c>
    </row>
    <row r="11" spans="1:17" x14ac:dyDescent="0.25">
      <c r="K11" s="13" t="s">
        <v>35</v>
      </c>
      <c r="L11" s="8">
        <f>ABS(L9-L10)</f>
        <v>4.7239123200000233E-3</v>
      </c>
    </row>
    <row r="12" spans="1:17" x14ac:dyDescent="0.25">
      <c r="K12" s="13" t="s">
        <v>36</v>
      </c>
      <c r="L12" s="8">
        <f>L11/L9</f>
        <v>3.7866126372379794E-3</v>
      </c>
      <c r="N12" s="8" t="s">
        <v>26</v>
      </c>
      <c r="O12" s="8">
        <f>SUM(Q3:Q10)</f>
        <v>1.2475298565120003</v>
      </c>
    </row>
    <row r="13" spans="1:17" x14ac:dyDescent="0.25">
      <c r="K13" s="13" t="s">
        <v>43</v>
      </c>
      <c r="L13" s="8">
        <f>(L9+L10)/2</f>
        <v>1.2498918126720002</v>
      </c>
    </row>
    <row r="14" spans="1:17" x14ac:dyDescent="0.25">
      <c r="N14" s="14" t="s">
        <v>38</v>
      </c>
    </row>
    <row r="15" spans="1:17" x14ac:dyDescent="0.25">
      <c r="N15" s="9" t="s">
        <v>16</v>
      </c>
      <c r="O15" s="9" t="s">
        <v>17</v>
      </c>
      <c r="P15" s="9" t="s">
        <v>18</v>
      </c>
      <c r="Q15" s="9" t="s">
        <v>19</v>
      </c>
    </row>
    <row r="16" spans="1:17" x14ac:dyDescent="0.25">
      <c r="N16" s="8" t="s">
        <v>27</v>
      </c>
      <c r="O16" s="8">
        <f>1</f>
        <v>1</v>
      </c>
      <c r="P16" s="7">
        <f>B9</f>
        <v>1.2679499999999999</v>
      </c>
      <c r="Q16" s="8">
        <f>O16*P16</f>
        <v>1.2679499999999999</v>
      </c>
    </row>
    <row r="17" spans="14:17" x14ac:dyDescent="0.25">
      <c r="N17" s="8" t="s">
        <v>28</v>
      </c>
      <c r="O17" s="8">
        <f>L7/1</f>
        <v>-1.8000000000000016</v>
      </c>
      <c r="P17" s="7">
        <f>C8</f>
        <v>4.669999999999952E-3</v>
      </c>
      <c r="Q17" s="8">
        <f>O17*P17</f>
        <v>-8.4059999999999205E-3</v>
      </c>
    </row>
    <row r="18" spans="14:17" x14ac:dyDescent="0.25">
      <c r="N18" s="8" t="s">
        <v>29</v>
      </c>
      <c r="O18" s="8">
        <f>L7*(L7+1)/2</f>
        <v>0.72000000000000208</v>
      </c>
      <c r="P18" s="7">
        <f>D7</f>
        <v>-9.279999999999955E-3</v>
      </c>
      <c r="Q18" s="8">
        <f>O18*P18</f>
        <v>-6.6815999999999872E-3</v>
      </c>
    </row>
    <row r="19" spans="14:17" x14ac:dyDescent="0.25">
      <c r="N19" s="8" t="s">
        <v>30</v>
      </c>
      <c r="O19" s="8">
        <f>L7*(L7+1)*(L7+2)/6</f>
        <v>4.7999999999999758E-2</v>
      </c>
      <c r="P19" s="7">
        <f>E6</f>
        <v>-9.3699999999998784E-3</v>
      </c>
      <c r="Q19" s="8">
        <f>O19*P19</f>
        <v>-4.4975999999999187E-4</v>
      </c>
    </row>
    <row r="20" spans="14:17" x14ac:dyDescent="0.25">
      <c r="N20" s="8" t="s">
        <v>31</v>
      </c>
      <c r="O20" s="8">
        <f>L7*(L7+1)*(L7+2)*(L7+3)/24</f>
        <v>1.4399999999999908E-2</v>
      </c>
      <c r="P20" s="7">
        <f>F5</f>
        <v>-4.7899999999998499E-3</v>
      </c>
      <c r="Q20" s="8">
        <f>O20*P20</f>
        <v>-6.8975999999997396E-5</v>
      </c>
    </row>
    <row r="21" spans="14:17" x14ac:dyDescent="0.25">
      <c r="N21" s="8" t="s">
        <v>32</v>
      </c>
      <c r="O21" s="8">
        <f>L7*(L7+1)*(L7+2)*(L7+3)*(L7+4)/120</f>
        <v>6.3359999999999545E-3</v>
      </c>
      <c r="P21" s="7">
        <f>G4</f>
        <v>-1.3999999999980695E-4</v>
      </c>
      <c r="Q21" s="8">
        <f>O21*P21</f>
        <v>-8.8703999999877041E-7</v>
      </c>
    </row>
    <row r="22" spans="14:17" x14ac:dyDescent="0.25">
      <c r="N22" s="8" t="s">
        <v>41</v>
      </c>
      <c r="O22" s="8">
        <f>L7*(L7+1)*(L7+2)*(L7+3)*(L7+4)*(L7+5)/720</f>
        <v>3.3791999999999742E-3</v>
      </c>
      <c r="P22" s="7">
        <f>H3</f>
        <v>-4.5599999999994534E-3</v>
      </c>
      <c r="Q22" s="8">
        <f>O22*P22</f>
        <v>-1.5409151999998035E-5</v>
      </c>
    </row>
    <row r="23" spans="14:17" x14ac:dyDescent="0.25">
      <c r="N23" s="8" t="s">
        <v>42</v>
      </c>
      <c r="O23" s="8">
        <f>L7*(L7+1)*(L7+2)*(L7+3)*(L7+4)*(L7+5)*(L7+6)/5040</f>
        <v>2.0275199999999841E-3</v>
      </c>
      <c r="P23" s="7">
        <f>I2</f>
        <v>-3.6299999999998001E-2</v>
      </c>
      <c r="Q23" s="8">
        <f>O23*P23</f>
        <v>-7.3598975999995364E-5</v>
      </c>
    </row>
    <row r="25" spans="14:17" x14ac:dyDescent="0.25">
      <c r="N25" s="8" t="s">
        <v>26</v>
      </c>
      <c r="O25" s="8">
        <f>SUM(Q16:Q23)</f>
        <v>1.2522537688320003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Севастьянов Кирилл Артемович</dc:creator>
  <cp:lastModifiedBy>Севастьянов Кирилл Артемович</cp:lastModifiedBy>
  <dcterms:created xsi:type="dcterms:W3CDTF">2025-10-13T13:02:40Z</dcterms:created>
  <dcterms:modified xsi:type="dcterms:W3CDTF">2025-10-14T06:21:00Z</dcterms:modified>
</cp:coreProperties>
</file>